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schneider\Documents\NT_Projekte\ZumoComSystemHW\doc\Design\"/>
    </mc:Choice>
  </mc:AlternateContent>
  <xr:revisionPtr revIDLastSave="0" documentId="13_ncr:1_{784DEF58-1C67-4764-8D16-1EB65B9C2CE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27" i="1"/>
  <c r="K31" i="1"/>
  <c r="K10" i="1"/>
  <c r="L27" i="1"/>
  <c r="L28" i="1" s="1"/>
  <c r="H28" i="1" s="1"/>
  <c r="L6" i="1" a="1"/>
  <c r="L6" i="1" s="1"/>
  <c r="U5" i="1" s="1"/>
  <c r="K28" i="1" l="1"/>
  <c r="H29" i="1"/>
  <c r="H27" i="1"/>
  <c r="L7" i="1" l="1"/>
  <c r="K7" i="1" l="1"/>
  <c r="H7" i="1"/>
  <c r="H8" i="1" l="1"/>
  <c r="H6" i="1"/>
  <c r="B7" i="1"/>
  <c r="B34" i="1" l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<sst xmlns="http://schemas.openxmlformats.org/spreadsheetml/2006/main" count="64" uniqueCount="33">
  <si>
    <t>V</t>
  </si>
  <si>
    <t>mA</t>
  </si>
  <si>
    <t>mW</t>
  </si>
  <si>
    <t>Power loss</t>
  </si>
  <si>
    <t>3V3 Switching Regulator</t>
  </si>
  <si>
    <t>5V Switching Regulator</t>
  </si>
  <si>
    <t>ESP32 Modul</t>
  </si>
  <si>
    <t>LEDs</t>
  </si>
  <si>
    <t>Motors</t>
  </si>
  <si>
    <t>Efficency</t>
  </si>
  <si>
    <t>Power Supply</t>
  </si>
  <si>
    <t>A</t>
  </si>
  <si>
    <t>W</t>
  </si>
  <si>
    <t>Power loss total</t>
  </si>
  <si>
    <t>Pololu Mainboard</t>
  </si>
  <si>
    <t>???</t>
  </si>
  <si>
    <t>(6V/1,6A)</t>
  </si>
  <si>
    <t>Link:</t>
  </si>
  <si>
    <t>Max. 8.4V</t>
  </si>
  <si>
    <t>&gt;&gt;&gt;</t>
  </si>
  <si>
    <t>Battery</t>
  </si>
  <si>
    <t>Battery Charger &amp; Protector +                        Power Management</t>
  </si>
  <si>
    <t>TPS560430X3FDBVT</t>
  </si>
  <si>
    <t>Load</t>
  </si>
  <si>
    <t>max. Power</t>
  </si>
  <si>
    <t>LT1374CS8-5-PBF</t>
  </si>
  <si>
    <t>15uH</t>
  </si>
  <si>
    <t xml:space="preserve">L_min = </t>
  </si>
  <si>
    <t>uH</t>
  </si>
  <si>
    <t>min.</t>
  </si>
  <si>
    <t>max.</t>
  </si>
  <si>
    <r>
      <rPr>
        <sz val="11"/>
        <color theme="1"/>
        <rFont val="Aptos Narrow"/>
        <family val="2"/>
      </rPr>
      <t>∆</t>
    </r>
    <r>
      <rPr>
        <sz val="11"/>
        <color theme="1"/>
        <rFont val="Calibri"/>
        <family val="2"/>
      </rPr>
      <t>i_L =</t>
    </r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</si>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</sst>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70" formatCode="0.000E+00"/>
    <numFmt numFmtId="173" formatCode="0.0E+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65">
    <xf numFmtId="0" fontId="0" fillId="0" borderId="0" xfId="0"/>
    <xf numFmtId="164" fontId="0" fillId="0" borderId="0" xfId="0" applyNumberFormat="1"/>
    <xf numFmtId="165" fontId="0" fillId="2" borderId="0" xfId="0" applyNumberFormat="1" applyFill="1"/>
    <xf numFmtId="0" fontId="2" fillId="0" borderId="0" xfId="0" applyFont="1"/>
    <xf numFmtId="2" fontId="0" fillId="0" borderId="0" xfId="0" applyNumberFormat="1"/>
    <xf numFmtId="0" fontId="2" fillId="0" borderId="3" xfId="0" applyFont="1" applyBorder="1"/>
    <xf numFmtId="0" fontId="0" fillId="0" borderId="4" xfId="0" applyBorder="1"/>
    <xf numFmtId="2" fontId="0" fillId="3" borderId="5" xfId="0" applyNumberFormat="1" applyFill="1" applyBorder="1" applyAlignment="1">
      <alignment horizontal="right"/>
    </xf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2" fontId="2" fillId="2" borderId="9" xfId="0" applyNumberFormat="1" applyFont="1" applyFill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2" fontId="0" fillId="4" borderId="10" xfId="0" applyNumberFormat="1" applyFill="1" applyBorder="1"/>
    <xf numFmtId="0" fontId="0" fillId="4" borderId="11" xfId="0" applyFill="1" applyBorder="1"/>
    <xf numFmtId="165" fontId="0" fillId="0" borderId="0" xfId="0" applyNumberFormat="1"/>
    <xf numFmtId="2" fontId="0" fillId="3" borderId="5" xfId="0" applyNumberFormat="1" applyFill="1" applyBorder="1"/>
    <xf numFmtId="2" fontId="0" fillId="2" borderId="5" xfId="0" applyNumberFormat="1" applyFill="1" applyBorder="1"/>
    <xf numFmtId="1" fontId="0" fillId="2" borderId="0" xfId="0" applyNumberFormat="1" applyFill="1"/>
    <xf numFmtId="0" fontId="2" fillId="4" borderId="11" xfId="0" applyFont="1" applyFill="1" applyBorder="1"/>
    <xf numFmtId="0" fontId="0" fillId="0" borderId="13" xfId="0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165" fontId="0" fillId="0" borderId="7" xfId="0" applyNumberFormat="1" applyBorder="1"/>
    <xf numFmtId="0" fontId="2" fillId="0" borderId="8" xfId="0" applyFont="1" applyBorder="1"/>
    <xf numFmtId="2" fontId="0" fillId="0" borderId="7" xfId="0" applyNumberFormat="1" applyBorder="1"/>
    <xf numFmtId="2" fontId="1" fillId="5" borderId="7" xfId="0" applyNumberFormat="1" applyFont="1" applyFill="1" applyBorder="1"/>
    <xf numFmtId="1" fontId="2" fillId="0" borderId="9" xfId="0" applyNumberFormat="1" applyFont="1" applyBorder="1" applyAlignment="1">
      <alignment horizontal="right"/>
    </xf>
    <xf numFmtId="2" fontId="1" fillId="4" borderId="9" xfId="0" applyNumberFormat="1" applyFont="1" applyFill="1" applyBorder="1"/>
    <xf numFmtId="2" fontId="1" fillId="4" borderId="6" xfId="0" applyNumberFormat="1" applyFont="1" applyFill="1" applyBorder="1" applyAlignment="1">
      <alignment horizontal="left"/>
    </xf>
    <xf numFmtId="0" fontId="2" fillId="4" borderId="15" xfId="0" applyFont="1" applyFill="1" applyBorder="1" applyAlignment="1">
      <alignment wrapText="1"/>
    </xf>
    <xf numFmtId="0" fontId="0" fillId="0" borderId="16" xfId="0" applyBorder="1"/>
    <xf numFmtId="0" fontId="3" fillId="0" borderId="0" xfId="1"/>
    <xf numFmtId="0" fontId="0" fillId="0" borderId="0" xfId="0" applyAlignment="1">
      <alignment horizontal="right"/>
    </xf>
    <xf numFmtId="1" fontId="2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9" fontId="0" fillId="0" borderId="8" xfId="2" applyFont="1" applyBorder="1"/>
    <xf numFmtId="9" fontId="2" fillId="0" borderId="13" xfId="2" applyFont="1" applyBorder="1" applyAlignment="1">
      <alignment horizontal="center" vertical="center"/>
    </xf>
    <xf numFmtId="2" fontId="0" fillId="0" borderId="16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9" fontId="0" fillId="0" borderId="6" xfId="2" applyFont="1" applyBorder="1"/>
    <xf numFmtId="170" fontId="0" fillId="0" borderId="0" xfId="0" applyNumberFormat="1"/>
    <xf numFmtId="11" fontId="0" fillId="0" borderId="0" xfId="0" applyNumberFormat="1"/>
    <xf numFmtId="0" fontId="5" fillId="0" borderId="0" xfId="0" applyFont="1" applyAlignment="1">
      <alignment horizontal="right"/>
    </xf>
    <xf numFmtId="173" fontId="0" fillId="0" borderId="0" xfId="0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3">
    <cellStyle name="Link" xfId="1" builtinId="8"/>
    <cellStyle name="Prozent" xfId="2" builtinId="5"/>
    <cellStyle name="Standard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66675</xdr:colOff>
      <xdr:row>26</xdr:row>
      <xdr:rowOff>28575</xdr:rowOff>
    </xdr:from>
    <xdr:to>
      <xdr:col>26</xdr:col>
      <xdr:colOff>591131</xdr:colOff>
      <xdr:row>37</xdr:row>
      <xdr:rowOff>20464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06625" y="3905250"/>
          <a:ext cx="3572456" cy="212548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66675</xdr:rowOff>
    </xdr:from>
    <xdr:to>
      <xdr:col>33</xdr:col>
      <xdr:colOff>315007</xdr:colOff>
      <xdr:row>41</xdr:row>
      <xdr:rowOff>171869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0" y="3943350"/>
          <a:ext cx="4887007" cy="3000794"/>
        </a:xfrm>
        <a:prstGeom prst="rect">
          <a:avLst/>
        </a:prstGeom>
      </xdr:spPr>
    </xdr:pic>
    <xdr:clientData/>
  </xdr:twoCellAnchor>
  <xdr:twoCellAnchor>
    <xdr:from>
      <xdr:col>26</xdr:col>
      <xdr:colOff>761999</xdr:colOff>
      <xdr:row>39</xdr:row>
      <xdr:rowOff>142876</xdr:rowOff>
    </xdr:from>
    <xdr:to>
      <xdr:col>32</xdr:col>
      <xdr:colOff>276224</xdr:colOff>
      <xdr:row>41</xdr:row>
      <xdr:rowOff>114300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649949" y="6534151"/>
          <a:ext cx="4086225" cy="3524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28</xdr:col>
      <xdr:colOff>219075</xdr:colOff>
      <xdr:row>4</xdr:row>
      <xdr:rowOff>152400</xdr:rowOff>
    </xdr:from>
    <xdr:to>
      <xdr:col>33</xdr:col>
      <xdr:colOff>533400</xdr:colOff>
      <xdr:row>20</xdr:row>
      <xdr:rowOff>159544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CBBABDB-793F-1EB4-9FED-6E33E2236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31025" y="933450"/>
          <a:ext cx="4124325" cy="30932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85725</xdr:rowOff>
    </xdr:from>
    <xdr:to>
      <xdr:col>21</xdr:col>
      <xdr:colOff>726666</xdr:colOff>
      <xdr:row>17</xdr:row>
      <xdr:rowOff>142875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E770484D-A092-ABCD-1057-A93B437F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77450" y="1657350"/>
          <a:ext cx="4727166" cy="178117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5</xdr:row>
      <xdr:rowOff>190500</xdr:rowOff>
    </xdr:from>
    <xdr:to>
      <xdr:col>27</xdr:col>
      <xdr:colOff>209549</xdr:colOff>
      <xdr:row>23</xdr:row>
      <xdr:rowOff>81601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EE10046A-78C5-6D88-E9C3-07E8ABC85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78050" y="1162050"/>
          <a:ext cx="3981449" cy="3358201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2</xdr:row>
      <xdr:rowOff>9525</xdr:rowOff>
    </xdr:from>
    <xdr:to>
      <xdr:col>28</xdr:col>
      <xdr:colOff>371910</xdr:colOff>
      <xdr:row>8</xdr:row>
      <xdr:rowOff>162112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8AE61622-3616-9881-4590-90DBA60E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68750" y="390525"/>
          <a:ext cx="3115110" cy="1343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de/ProductDetail/Texas-Instruments/TPS560430X3FDBVT?qs=y6ZabgHbY%252BwVnm98XeNv8w%3D%3D" TargetMode="External"/><Relationship Id="rId1" Type="http://schemas.openxmlformats.org/officeDocument/2006/relationships/hyperlink" Target="https://www.digikey.de/product-detail/de/analog-devices-inc/LT1374CS8-5-PBF/LT1374CS8-5-PBF-ND/88877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45"/>
  <sheetViews>
    <sheetView tabSelected="1" zoomScaleNormal="100" workbookViewId="0">
      <selection activeCell="AD19" sqref="AD19"/>
    </sheetView>
  </sheetViews>
  <sheetFormatPr baseColWidth="10" defaultRowHeight="15" x14ac:dyDescent="0.25"/>
  <cols>
    <col min="3" max="3" width="12.28515625" customWidth="1"/>
    <col min="4" max="5" width="14.42578125" customWidth="1"/>
    <col min="6" max="6" width="12.7109375" customWidth="1"/>
    <col min="7" max="7" width="12.85546875" customWidth="1"/>
    <col min="8" max="8" width="9.5703125" customWidth="1"/>
    <col min="9" max="9" width="4.5703125" customWidth="1"/>
    <col min="13" max="13" width="4.28515625" customWidth="1"/>
    <col min="14" max="14" width="4.7109375" customWidth="1"/>
    <col min="15" max="15" width="4.140625" customWidth="1"/>
    <col min="16" max="16" width="5.7109375" customWidth="1"/>
    <col min="17" max="17" width="4.28515625" customWidth="1"/>
    <col min="18" max="18" width="15.140625" bestFit="1" customWidth="1"/>
    <col min="20" max="20" width="11.42578125" style="38"/>
    <col min="21" max="21" width="12" bestFit="1" customWidth="1"/>
    <col min="24" max="27" width="11.42578125" customWidth="1"/>
  </cols>
  <sheetData>
    <row r="3" spans="1:22" ht="15.75" thickBot="1" x14ac:dyDescent="0.3">
      <c r="B3" t="s">
        <v>20</v>
      </c>
    </row>
    <row r="4" spans="1:22" ht="15.75" thickBot="1" x14ac:dyDescent="0.3">
      <c r="B4" s="51" t="s">
        <v>10</v>
      </c>
      <c r="C4" s="52"/>
      <c r="E4" s="55" t="s">
        <v>21</v>
      </c>
      <c r="G4" t="s">
        <v>30</v>
      </c>
      <c r="H4" t="s">
        <v>29</v>
      </c>
      <c r="J4" s="49" t="s">
        <v>4</v>
      </c>
      <c r="K4" s="50"/>
      <c r="L4" s="1"/>
    </row>
    <row r="5" spans="1:22" x14ac:dyDescent="0.25">
      <c r="A5" t="s">
        <v>18</v>
      </c>
      <c r="B5" s="28">
        <v>5</v>
      </c>
      <c r="C5" s="29" t="s">
        <v>0</v>
      </c>
      <c r="E5" s="56"/>
      <c r="G5">
        <v>8.4</v>
      </c>
      <c r="H5" s="4">
        <v>5</v>
      </c>
      <c r="I5" t="s">
        <v>0</v>
      </c>
      <c r="J5" s="5"/>
      <c r="K5" s="6"/>
      <c r="L5" s="4">
        <v>3.3</v>
      </c>
      <c r="M5" t="s">
        <v>0</v>
      </c>
      <c r="N5" s="10"/>
      <c r="O5">
        <v>1</v>
      </c>
      <c r="P5" s="2">
        <v>270</v>
      </c>
      <c r="Q5" t="s">
        <v>1</v>
      </c>
      <c r="R5" s="3" t="s">
        <v>6</v>
      </c>
      <c r="T5" s="38" t="s">
        <v>27</v>
      </c>
      <c r="U5" s="58">
        <f>(G5-L5)/(L6/1000*0.2)  *  (L5)/(G5*1100000)</f>
        <v>3.0357142857142864E-5</v>
      </c>
      <c r="V5" t="s">
        <v>32</v>
      </c>
    </row>
    <row r="6" spans="1:22" ht="15.75" thickBot="1" x14ac:dyDescent="0.3">
      <c r="B6" s="30">
        <f>B7/B5</f>
        <v>3.6125730994152052</v>
      </c>
      <c r="C6" s="29" t="s">
        <v>11</v>
      </c>
      <c r="D6" s="14"/>
      <c r="E6" s="56"/>
      <c r="F6" s="25"/>
      <c r="G6" s="13"/>
      <c r="H6" s="7">
        <f>H7/H5</f>
        <v>247.5</v>
      </c>
      <c r="I6" s="8" t="s">
        <v>1</v>
      </c>
      <c r="J6" s="9" t="s">
        <v>9</v>
      </c>
      <c r="K6" s="46">
        <v>0.8</v>
      </c>
      <c r="L6" s="11" cm="1">
        <f t="array" ref="L6">SUM(O5:O7*P5:P7)</f>
        <v>300</v>
      </c>
      <c r="M6" s="12" t="s">
        <v>1</v>
      </c>
      <c r="N6" s="14"/>
      <c r="O6">
        <v>6</v>
      </c>
      <c r="P6" s="2">
        <v>5</v>
      </c>
      <c r="Q6" t="s">
        <v>1</v>
      </c>
      <c r="R6" s="3" t="s">
        <v>7</v>
      </c>
      <c r="T6" s="38" t="s">
        <v>19</v>
      </c>
      <c r="U6" s="59">
        <v>4.6999999999999997E-5</v>
      </c>
      <c r="V6" t="s">
        <v>32</v>
      </c>
    </row>
    <row r="7" spans="1:22" ht="15.75" thickBot="1" x14ac:dyDescent="0.3">
      <c r="B7" s="31">
        <f>SUM(H7,H28)/(E10)/1000</f>
        <v>18.062865497076025</v>
      </c>
      <c r="C7" s="29" t="s">
        <v>12</v>
      </c>
      <c r="E7" s="56"/>
      <c r="F7" s="26"/>
      <c r="H7" s="4">
        <f>L7/K6</f>
        <v>1237.5</v>
      </c>
      <c r="I7" t="s">
        <v>2</v>
      </c>
      <c r="J7" s="25" t="s">
        <v>23</v>
      </c>
      <c r="K7" s="57">
        <f>L7/K10</f>
        <v>0.5</v>
      </c>
      <c r="L7" s="4">
        <f>(L6*L5)</f>
        <v>990</v>
      </c>
      <c r="M7" t="s">
        <v>2</v>
      </c>
      <c r="N7" s="10"/>
      <c r="P7" s="17"/>
      <c r="R7" s="3"/>
      <c r="T7" s="60" t="s">
        <v>31</v>
      </c>
      <c r="U7" s="61">
        <f>(L5*(G5-L5))/(G5*U6*1100000)</f>
        <v>3.8753799392097263E-2</v>
      </c>
      <c r="V7" t="s">
        <v>11</v>
      </c>
    </row>
    <row r="8" spans="1:22" ht="15.75" thickBot="1" x14ac:dyDescent="0.3">
      <c r="B8" s="32"/>
      <c r="C8" s="8"/>
      <c r="E8" s="56"/>
      <c r="F8" s="27"/>
      <c r="H8" s="15">
        <f>H7-L7</f>
        <v>247.5</v>
      </c>
      <c r="I8" s="16" t="s">
        <v>2</v>
      </c>
      <c r="J8" s="35" t="s">
        <v>3</v>
      </c>
      <c r="L8" s="1"/>
      <c r="N8" s="10"/>
    </row>
    <row r="9" spans="1:22" x14ac:dyDescent="0.25">
      <c r="B9" s="48"/>
      <c r="C9" s="3"/>
      <c r="D9" s="10"/>
      <c r="E9" s="23" t="s">
        <v>9</v>
      </c>
      <c r="F9" s="27"/>
      <c r="J9" t="s">
        <v>17</v>
      </c>
      <c r="K9" s="37" t="s">
        <v>22</v>
      </c>
    </row>
    <row r="10" spans="1:22" x14ac:dyDescent="0.25">
      <c r="E10" s="47">
        <v>0.95</v>
      </c>
      <c r="F10" s="27"/>
      <c r="H10" s="1"/>
      <c r="J10" t="s">
        <v>24</v>
      </c>
      <c r="K10">
        <f>3.3*600</f>
        <v>1980</v>
      </c>
      <c r="L10" s="1" t="s">
        <v>2</v>
      </c>
      <c r="P10" s="17"/>
      <c r="Q10" s="3"/>
      <c r="R10" s="3"/>
    </row>
    <row r="11" spans="1:22" x14ac:dyDescent="0.25">
      <c r="E11" s="22"/>
      <c r="F11" s="27"/>
    </row>
    <row r="12" spans="1:22" x14ac:dyDescent="0.25">
      <c r="E12" s="23"/>
      <c r="F12" s="27"/>
    </row>
    <row r="13" spans="1:22" ht="15.75" thickBot="1" x14ac:dyDescent="0.3">
      <c r="B13" s="3"/>
      <c r="E13" s="24"/>
      <c r="F13" s="27"/>
    </row>
    <row r="14" spans="1:22" x14ac:dyDescent="0.25">
      <c r="B14" s="3"/>
      <c r="E14" s="63"/>
      <c r="F14" s="10"/>
    </row>
    <row r="15" spans="1:22" x14ac:dyDescent="0.25">
      <c r="B15" s="3"/>
      <c r="E15" s="63"/>
      <c r="F15" s="10"/>
    </row>
    <row r="16" spans="1:22" x14ac:dyDescent="0.25">
      <c r="B16" s="3"/>
      <c r="E16" s="63"/>
      <c r="F16" s="10"/>
    </row>
    <row r="17" spans="2:22" x14ac:dyDescent="0.25">
      <c r="B17" s="3"/>
      <c r="E17" s="63"/>
      <c r="F17" s="10"/>
    </row>
    <row r="18" spans="2:22" x14ac:dyDescent="0.25">
      <c r="B18" s="3"/>
      <c r="E18" s="63"/>
      <c r="F18" s="10"/>
    </row>
    <row r="19" spans="2:22" x14ac:dyDescent="0.25">
      <c r="E19" s="63"/>
      <c r="F19" s="10"/>
    </row>
    <row r="20" spans="2:22" x14ac:dyDescent="0.25">
      <c r="D20" s="62"/>
      <c r="E20" s="63"/>
      <c r="F20" s="10"/>
      <c r="G20" s="9"/>
    </row>
    <row r="21" spans="2:22" x14ac:dyDescent="0.25">
      <c r="D21" s="62"/>
      <c r="E21" s="63"/>
      <c r="F21" s="10"/>
      <c r="G21" s="62"/>
    </row>
    <row r="22" spans="2:22" x14ac:dyDescent="0.25">
      <c r="D22" s="62"/>
      <c r="E22" s="63"/>
      <c r="F22" s="10"/>
    </row>
    <row r="23" spans="2:22" x14ac:dyDescent="0.25">
      <c r="D23" s="62"/>
      <c r="E23" s="64"/>
      <c r="F23" s="10"/>
    </row>
    <row r="24" spans="2:22" ht="15.75" thickBot="1" x14ac:dyDescent="0.3">
      <c r="D24" s="62"/>
      <c r="E24" s="63"/>
      <c r="F24" s="10"/>
    </row>
    <row r="25" spans="2:22" ht="15.75" thickBot="1" x14ac:dyDescent="0.3">
      <c r="F25" s="10"/>
      <c r="G25" t="s">
        <v>30</v>
      </c>
      <c r="H25" t="s">
        <v>29</v>
      </c>
      <c r="J25" s="49" t="s">
        <v>5</v>
      </c>
      <c r="K25" s="50"/>
      <c r="L25" s="1"/>
    </row>
    <row r="26" spans="2:22" x14ac:dyDescent="0.25">
      <c r="F26" s="10"/>
      <c r="G26">
        <v>8.4</v>
      </c>
      <c r="H26" s="4">
        <v>5</v>
      </c>
      <c r="I26" t="s">
        <v>0</v>
      </c>
      <c r="J26" s="5"/>
      <c r="K26" s="6"/>
      <c r="L26" s="4">
        <v>5</v>
      </c>
      <c r="M26" t="s">
        <v>0</v>
      </c>
    </row>
    <row r="27" spans="2:22" ht="15.75" thickBot="1" x14ac:dyDescent="0.3">
      <c r="F27" s="10"/>
      <c r="H27" s="18">
        <f>H28/H26</f>
        <v>3184.4444444444443</v>
      </c>
      <c r="I27" s="8" t="s">
        <v>1</v>
      </c>
      <c r="J27" s="9" t="s">
        <v>9</v>
      </c>
      <c r="K27" s="46">
        <v>0.9</v>
      </c>
      <c r="L27" s="19">
        <f>(P27*O27+P28*O28+O29*P29+O30*P30)</f>
        <v>2866</v>
      </c>
      <c r="M27" s="12" t="s">
        <v>1</v>
      </c>
      <c r="N27" s="14"/>
      <c r="O27">
        <v>2</v>
      </c>
      <c r="P27" s="20">
        <v>1333</v>
      </c>
      <c r="Q27" t="s">
        <v>1</v>
      </c>
      <c r="R27" s="3" t="s">
        <v>8</v>
      </c>
      <c r="S27" t="s">
        <v>16</v>
      </c>
      <c r="T27" s="38" t="s">
        <v>27</v>
      </c>
      <c r="U27" s="59">
        <f>(0.29*L26*(G26+2.4-L26))/(0.2*500000*(G26+2.4))</f>
        <v>7.7870370370370371E-6</v>
      </c>
      <c r="V27" t="s">
        <v>28</v>
      </c>
    </row>
    <row r="28" spans="2:22" ht="15.75" thickBot="1" x14ac:dyDescent="0.3">
      <c r="G28" s="36"/>
      <c r="H28" s="4">
        <f>L28/K27</f>
        <v>15922.222222222223</v>
      </c>
      <c r="I28" s="3" t="s">
        <v>2</v>
      </c>
      <c r="J28" s="25" t="s">
        <v>23</v>
      </c>
      <c r="K28" s="57">
        <f>L28/K31</f>
        <v>0.63688888888888884</v>
      </c>
      <c r="L28" s="4">
        <f>L27*L26</f>
        <v>14330</v>
      </c>
      <c r="M28" s="3" t="s">
        <v>2</v>
      </c>
      <c r="N28" s="10"/>
      <c r="O28">
        <v>1</v>
      </c>
      <c r="P28" s="20">
        <v>200</v>
      </c>
      <c r="Q28" t="s">
        <v>1</v>
      </c>
      <c r="R28" s="3" t="s">
        <v>14</v>
      </c>
      <c r="S28" t="s">
        <v>15</v>
      </c>
      <c r="T28" s="38" t="s">
        <v>19</v>
      </c>
      <c r="U28" t="s">
        <v>26</v>
      </c>
    </row>
    <row r="29" spans="2:22" x14ac:dyDescent="0.25">
      <c r="H29" s="15">
        <f>H28-L28</f>
        <v>1592.2222222222226</v>
      </c>
      <c r="I29" s="21" t="s">
        <v>2</v>
      </c>
      <c r="J29" s="35" t="s">
        <v>3</v>
      </c>
      <c r="L29" s="1"/>
      <c r="N29" s="10"/>
      <c r="P29" s="17"/>
      <c r="R29" s="3"/>
    </row>
    <row r="30" spans="2:22" x14ac:dyDescent="0.25">
      <c r="E30" s="45"/>
      <c r="J30" t="s">
        <v>17</v>
      </c>
      <c r="K30" s="37" t="s">
        <v>25</v>
      </c>
      <c r="N30" s="10"/>
      <c r="P30" s="17"/>
      <c r="R30" s="3"/>
    </row>
    <row r="31" spans="2:22" x14ac:dyDescent="0.25">
      <c r="B31" s="40"/>
      <c r="C31" s="40"/>
      <c r="E31" s="45"/>
      <c r="J31" t="s">
        <v>24</v>
      </c>
      <c r="K31">
        <f>4500*5</f>
        <v>22500</v>
      </c>
      <c r="L31" t="s">
        <v>2</v>
      </c>
    </row>
    <row r="32" spans="2:22" ht="15.75" thickBot="1" x14ac:dyDescent="0.3">
      <c r="B32" s="17"/>
      <c r="C32" s="3"/>
      <c r="E32" s="45"/>
    </row>
    <row r="33" spans="2:5" x14ac:dyDescent="0.25">
      <c r="B33" s="53" t="s">
        <v>13</v>
      </c>
      <c r="C33" s="54"/>
      <c r="E33" s="45"/>
    </row>
    <row r="34" spans="2:5" ht="15.75" thickBot="1" x14ac:dyDescent="0.3">
      <c r="B34" s="33">
        <f>B7-(H7+H28)/1000</f>
        <v>0.90314327485380375</v>
      </c>
      <c r="C34" s="34" t="s">
        <v>12</v>
      </c>
      <c r="E34" s="45"/>
    </row>
    <row r="35" spans="2:5" x14ac:dyDescent="0.25">
      <c r="B35" s="39"/>
      <c r="C35" s="3"/>
      <c r="E35" s="41"/>
    </row>
    <row r="36" spans="2:5" x14ac:dyDescent="0.25">
      <c r="B36" s="4"/>
      <c r="C36" s="3"/>
      <c r="E36" s="41"/>
    </row>
    <row r="37" spans="2:5" x14ac:dyDescent="0.25">
      <c r="E37" s="42"/>
    </row>
    <row r="38" spans="2:5" x14ac:dyDescent="0.25">
      <c r="E38" s="41"/>
    </row>
    <row r="39" spans="2:5" x14ac:dyDescent="0.25">
      <c r="E39" s="43"/>
    </row>
    <row r="40" spans="2:5" x14ac:dyDescent="0.25">
      <c r="E40" s="42"/>
    </row>
    <row r="41" spans="2:5" x14ac:dyDescent="0.25">
      <c r="E41" s="42"/>
    </row>
    <row r="42" spans="2:5" x14ac:dyDescent="0.25">
      <c r="E42" s="42"/>
    </row>
    <row r="43" spans="2:5" x14ac:dyDescent="0.25">
      <c r="E43" s="44"/>
    </row>
    <row r="44" spans="2:5" x14ac:dyDescent="0.25">
      <c r="E44" s="42"/>
    </row>
    <row r="45" spans="2:5" x14ac:dyDescent="0.25">
      <c r="E45" s="42"/>
    </row>
  </sheetData>
  <mergeCells count="5">
    <mergeCell ref="J4:K4"/>
    <mergeCell ref="B4:C4"/>
    <mergeCell ref="B33:C33"/>
    <mergeCell ref="J25:K25"/>
    <mergeCell ref="E4:E8"/>
  </mergeCells>
  <conditionalFormatting sqref="K7 K28">
    <cfRule type="expression" dxfId="0" priority="1" stopIfTrue="1">
      <formula>#REF!&lt;#REF!</formula>
    </cfRule>
  </conditionalFormatting>
  <hyperlinks>
    <hyperlink ref="K30" r:id="rId1" xr:uid="{00000000-0004-0000-0000-000001000000}"/>
    <hyperlink ref="K9" r:id="rId2" display="https://www.mouser.de/ProductDetail/Texas-Instruments/TPS560430X3FDBVT?qs=y6ZabgHbY%252BwVnm98XeNv8w%3D%3D" xr:uid="{5ED0E02F-494F-4076-8D39-28FCAC7F313B}"/>
  </hyperlinks>
  <pageMargins left="0.7" right="0.7" top="0.78740157499999996" bottom="0.78740157499999996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 Niklas</dc:creator>
  <cp:lastModifiedBy>Schneider Niklas</cp:lastModifiedBy>
  <dcterms:created xsi:type="dcterms:W3CDTF">2021-06-02T10:06:16Z</dcterms:created>
  <dcterms:modified xsi:type="dcterms:W3CDTF">2026-01-22T15:32:58Z</dcterms:modified>
</cp:coreProperties>
</file>